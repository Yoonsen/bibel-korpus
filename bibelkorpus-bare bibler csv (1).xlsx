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rtenbe/Downloads/"/>
    </mc:Choice>
  </mc:AlternateContent>
  <xr:revisionPtr revIDLastSave="0" documentId="13_ncr:9_{C29EA439-A203-A94C-A80A-060F0F5A44BA}" xr6:coauthVersionLast="47" xr6:coauthVersionMax="47" xr10:uidLastSave="{00000000-0000-0000-0000-000000000000}"/>
  <bookViews>
    <workbookView xWindow="11820" yWindow="660" windowWidth="48760" windowHeight="19020" xr2:uid="{00000000-000D-0000-FFFF-FFFF00000000}"/>
  </bookViews>
  <sheets>
    <sheet name="bibelkorpus-bare bibler csv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50" i="2"/>
  <c r="G49" i="2"/>
  <c r="G48" i="2"/>
  <c r="G47" i="2"/>
  <c r="G44" i="2"/>
  <c r="G43" i="2"/>
  <c r="G42" i="2"/>
  <c r="G41" i="2"/>
  <c r="G40" i="2"/>
  <c r="G39" i="2"/>
  <c r="G32" i="2"/>
  <c r="G31" i="2"/>
  <c r="G29" i="2"/>
  <c r="G28" i="2"/>
  <c r="G24" i="2"/>
  <c r="G21" i="2"/>
  <c r="G5" i="2"/>
  <c r="G4" i="2"/>
  <c r="F43" i="2"/>
  <c r="F44" i="2"/>
  <c r="F47" i="2"/>
  <c r="F48" i="2"/>
  <c r="F49" i="2"/>
  <c r="F50" i="2"/>
  <c r="F28" i="2"/>
  <c r="F29" i="2"/>
  <c r="F31" i="2"/>
  <c r="F32" i="2"/>
  <c r="F39" i="2"/>
  <c r="F40" i="2"/>
  <c r="F41" i="2"/>
  <c r="F42" i="2"/>
  <c r="F3" i="2"/>
  <c r="F4" i="2"/>
  <c r="F5" i="2"/>
  <c r="F21" i="2"/>
  <c r="F24" i="2"/>
  <c r="F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2" i="2"/>
</calcChain>
</file>

<file path=xl/sharedStrings.xml><?xml version="1.0" encoding="utf-8"?>
<sst xmlns="http://schemas.openxmlformats.org/spreadsheetml/2006/main" count="138" uniqueCount="112">
  <si>
    <t>urn</t>
  </si>
  <si>
    <t>title</t>
  </si>
  <si>
    <t>authors</t>
  </si>
  <si>
    <t>isbn10</t>
  </si>
  <si>
    <t>city</t>
  </si>
  <si>
    <t>timestamp</t>
  </si>
  <si>
    <t>year</t>
  </si>
  <si>
    <t>publisher</t>
  </si>
  <si>
    <t>langs</t>
  </si>
  <si>
    <t>subjects</t>
  </si>
  <si>
    <t>ddc</t>
  </si>
  <si>
    <t>genres</t>
  </si>
  <si>
    <t>literaryform</t>
  </si>
  <si>
    <t>doctype</t>
  </si>
  <si>
    <t>ocr_creator</t>
  </si>
  <si>
    <t>ocr_timestamp</t>
  </si>
  <si>
    <t>språk_antall</t>
  </si>
  <si>
    <t>til_språk</t>
  </si>
  <si>
    <t>Ikke funnet på Nb.no</t>
  </si>
  <si>
    <t>Christian IIs oversettelse av Det nye testamente 1524</t>
  </si>
  <si>
    <t>https://urn.nb.no/URN:NBN:no-nb_digibok_2019061928001</t>
  </si>
  <si>
    <t>Christian IIIs bibel 1550</t>
  </si>
  <si>
    <t>https://urn.nb.no/URN:NBN:no-nb_digibok_2022011028001</t>
  </si>
  <si>
    <t>Fredrik IIs bibel 1589</t>
  </si>
  <si>
    <t>https://urn.nb.no/URN:NBN:no-nb_digibok_2022012528002</t>
  </si>
  <si>
    <t>Hans Poulsens Resens oversettelse 1607</t>
  </si>
  <si>
    <t>https://urn.nb.no/URN:NBN:no-nb_digibok_2022011928001</t>
  </si>
  <si>
    <t>Christian IVs bibel 1633. Revisjon av Fredrik Iis bibel (fra 1589).</t>
  </si>
  <si>
    <t>https://urn.nb.no/URN:NBN:no-nb_digibok_2016040729001</t>
  </si>
  <si>
    <t>Hans Svanes revisjon 1647 av Resens oversettelse fra 1607 (Den Resen-Svaningske Bibel). Del 1 av GT: " Den første Part Af det Gamle Testamentis Bøgger", som det heter i tittelen</t>
  </si>
  <si>
    <t>https://urn.nb.no/URN:NBN:no-nb_digibok_2016040729002</t>
  </si>
  <si>
    <t>Hans Svanes revisjon 1647 av Resens oversettelse fra 1607 (Den Resen-Svaningske Bibel). Del 2 av GT: " Den Anden Part Af det gamle Testamentis Bøgger", som det heter i tittelen</t>
  </si>
  <si>
    <t>https://urn.nb.no/URN:NBN:no-nb_digibok_2016031029001</t>
  </si>
  <si>
    <t>Hans Svanes revisjon 1647 av Resens oversettelse fra 1607 (Den Resen-Svaningske Bibel). Del 3 av GT: " 3 : Den Tredie Part Af det Gamle Testamentis Bøgger", som det heter i tittelen.</t>
  </si>
  <si>
    <t xml:space="preserve">Hans Svanes revisjon 1647 - fullstendig utgave med Det nye testamente </t>
  </si>
  <si>
    <t>Christian IVs bibel 1647. Den opprinnelige utgaven skal være fra 1633.</t>
  </si>
  <si>
    <t>Fredrik IIIs Huus- og Reyse-Bibel (1670)</t>
  </si>
  <si>
    <t>Christian Vis bibel fra 1740 (revisjon av Resen-Svaning 1647)</t>
  </si>
  <si>
    <t>Hele Bibelen, oversat af Jacob Christian Lindberg (1837-56)</t>
  </si>
  <si>
    <t>Det Nye Testamente, oversat af Thomas Skat Rørdam (1887-92)</t>
  </si>
  <si>
    <t>https://urn.nb.no/URN:NBN:no-nb_digibok_2017051148061</t>
  </si>
  <si>
    <t>Det gamle testamente - Bibelselskapet 1891</t>
  </si>
  <si>
    <t>https://urn.nb.no/URN:NBN:no-nb_digibok_2021012648506</t>
  </si>
  <si>
    <t>Bibelen - Bibelselskapet 1904 (14. opplag 1914)</t>
  </si>
  <si>
    <t>https://urn.nb.no/URN:NBN:no-nb_digibok_2021041548624</t>
  </si>
  <si>
    <t>Bibelen - Bibelselskapet 1904 (3. opplag 1908)</t>
  </si>
  <si>
    <t>https://urn.nb.no/URN:NBN:no-nb_digibok_2008040104074</t>
  </si>
  <si>
    <t>NT 1904 - Bibelselskapet (1. opplag, ser det ut til)</t>
  </si>
  <si>
    <t>Bibelen nynorsk Fyrebelsbibeln 1921 det norske studentlag</t>
  </si>
  <si>
    <t>https://urn.nb.no/URN:NBN:no-nb_digibok_2010110206027</t>
  </si>
  <si>
    <t>Alexander Seippels oversettelse av Matteusev. 1915</t>
  </si>
  <si>
    <t xml:space="preserve">Bibelen nynorsk 1938 - revidert utgave av Fyrebelsbibelen 1921. </t>
  </si>
  <si>
    <t>https://urn.nb.no/URN:NBN:no-nb_digibok_2017091807031</t>
  </si>
  <si>
    <t>Bibelen Bibelselskapet (revisjon av 1904 fra 1930)</t>
  </si>
  <si>
    <t>https://urn.nb.no/URN:NBN:no-nb_digibok_2012081508153</t>
  </si>
  <si>
    <t>Vær ikke redde : evangeliet etter Markus - Bibelselskapet 1951 - prøveoversettelse</t>
  </si>
  <si>
    <t>https://urn.nb.no/URN:NBN:no-nb_digibok_2008052304066</t>
  </si>
  <si>
    <t>Bibelselskapet- Det nye testamente oversatt for ungdom (1959 - Ungdomsoversettelsen)</t>
  </si>
  <si>
    <t>https://urn.nb.no/URN:NBN:no-nb_digibok_2012033008102</t>
  </si>
  <si>
    <t>Lukas skriver - Bibelselskapets prøveoversettelse av Lukasevangeliet</t>
  </si>
  <si>
    <t>https://urn.nb.no/URN:NBN:no-nb_digibok_2018030805008</t>
  </si>
  <si>
    <t>Utvalg av Det gamle testamente Bibelselskapet 1966 - prøveovers. Utvalg av GT.</t>
  </si>
  <si>
    <t>https://urn.nb.no/URN:NBN:no-nb_digibok_2016061748023</t>
  </si>
  <si>
    <t>NT1975 - Bibelselskapets prøveoversettelse av NT BOKMÅL</t>
  </si>
  <si>
    <t>https://urn.nb.no/URN:NBN:no-nb_digibok_2015110407068</t>
  </si>
  <si>
    <t>NT1976 - Bibelselskapets prøveoversettelse av NT NYNORSK</t>
  </si>
  <si>
    <t>https://urn.nb.no/URN:NBN:no-nb_digibok_2022030107535</t>
  </si>
  <si>
    <t>Bibelselskapet 1978-oversettelse nynorsk</t>
  </si>
  <si>
    <t>https://urn.nb.no/URN:NBN:no-nb_digibok_2013030506026</t>
  </si>
  <si>
    <t>Bibelselskapet 1978-oversettelse bokmål</t>
  </si>
  <si>
    <t>https://urn.nb.no/URN:NBN:no-nb_digibok_2022030107531</t>
  </si>
  <si>
    <t>Bibelselskapet 1978/85 (10. opplag 1996)</t>
  </si>
  <si>
    <t>https://urn.nb.no/URN:NBN:no-nb_digibok_2018020748002</t>
  </si>
  <si>
    <t>https://urn.nb.no/URN:NBN:no-nb_digibok_2009021704085</t>
  </si>
  <si>
    <t>NTR1: Luk - Bibelselskapets prøveoversettelser i NTR-serien</t>
  </si>
  <si>
    <t>https://urn.nb.no/URN:NBN:no-nb_digibok_2013020808015</t>
  </si>
  <si>
    <t>NTR2: Mark - Bibelselskapets prøveoversettelser i NTR-serien</t>
  </si>
  <si>
    <t>https://urn.nb.no/URN:NBN:no-nb_digibok_2013061206082</t>
  </si>
  <si>
    <t>NTR3: Matt - Bibelselskapets prøveoversettelser i NTR-serien</t>
  </si>
  <si>
    <t>NTR4: Joh - Bibelselskapets prøveoversettelser i NTR-serien</t>
  </si>
  <si>
    <t>https://urn.nb.no/URN:NBN:no-nb_digibok_2011053008068</t>
  </si>
  <si>
    <t>NTR5: Apg - Bibelselskapets prøveoversettelser i NTR-serien</t>
  </si>
  <si>
    <t>https://urn.nb.no/URN:NBN:no-nb_digibok_2011060308011</t>
  </si>
  <si>
    <t>Bibelselskapets NT05 bokmål</t>
  </si>
  <si>
    <t>https://urn.nb.no/URN:NBN:no-nb_digibok_2011052608017</t>
  </si>
  <si>
    <t>Bibelselskapets NT05 nynorsk</t>
  </si>
  <si>
    <t xml:space="preserve">Finne bibeloversettelser etter 2011 </t>
  </si>
  <si>
    <t>Norsk bibel - Bibelen den hellige skrift (revisjon 2017)</t>
  </si>
  <si>
    <t>Bibelforlagfet - revisjon 2015 Bibelen Guds ord</t>
  </si>
  <si>
    <t xml:space="preserve">Bibelselskapet Bibel 2024 - </t>
  </si>
  <si>
    <t>Bibel 2024 standardutgave nynortsk og bokmål</t>
  </si>
  <si>
    <t>Bibel 2024 Folkebiblen (uten fotnoter) nynortsk og bokmål</t>
  </si>
  <si>
    <t>Bibel 2024 katolsk kanon nynorsk og bokmål</t>
  </si>
  <si>
    <t>Det nye testamente i ny oversettelse - Aschehoug 1945</t>
  </si>
  <si>
    <t>Vår herre og frelser Jesu Kristi Nye Testamente og Salmenes Bok - Det evangelisk-lutherske kirkesamfunn og Hauges venner 1960</t>
  </si>
  <si>
    <t>Det gamle testamente  Aschehoug 1929-1963</t>
  </si>
  <si>
    <t>Det gamle testamente oversatt fra gresk av Erik Gunnes med innledninger og kommentarer - Gyldendalg forlag 1968</t>
  </si>
  <si>
    <t>Det nye testamente på moderne norsk: oversatt fra den greske grunntekst - Acta forlag 1973</t>
  </si>
  <si>
    <t>Nytt liv - Biblicum (trykt av BTA og Living Bibles International) 1978 - revidert i 1988 under tittelen "En levdende bok: Det nye testamentet"</t>
  </si>
  <si>
    <t>Johannes Åpenbaring oversatt fra gresk - Cappelen 1986</t>
  </si>
  <si>
    <t>Bibelen Den Hellige Skrift. Det gamle testamentes kanoniske bøker - Norsk Bibel 1988/2007</t>
  </si>
  <si>
    <t>Markus forteller. Oversettelse og meditasjoner ved Eyvind Skeie - Verbum 1996</t>
  </si>
  <si>
    <t>Bibelen Guds Ord - Bibelforlaget 1997/2007</t>
  </si>
  <si>
    <t xml:space="preserve">Jesus: Evangeliene etter Markus, Matteus, Lukas og Johannes - De norske bokklubbene 2002 </t>
  </si>
  <si>
    <t>Jehovas Vitners Ny Verden-oversettelsen av De hellige skrifter - Watch Tower Bible and Tract Society  1996</t>
  </si>
  <si>
    <t>Folkebibelen og Reformasjonsbibelen - Det Nordiske Bibelforlag  1996-1997</t>
  </si>
  <si>
    <t xml:space="preserve">Bibelen. Det gamle og Det nye testamente - Ole Gjemlestad 2002 -  trykket i Ohio, USA </t>
  </si>
  <si>
    <t>Det nye testamente: Nye Levende Bibelen - Ola Liland, utgitt i Sverige på Det internasjonale bibelselskapet 2005</t>
  </si>
  <si>
    <t>Det nye testamentet - Det norske bibelselskap 2005</t>
  </si>
  <si>
    <t>Det nye testamentet revidert og Det gamle  testamentet revidert - Prøvetekster tu nt oversettelse - Det Norske Bibelselskap 2003-2007</t>
  </si>
  <si>
    <t>Bibel 2011 - Det Norske Bibelselskap 2011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</si>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</sst>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2"/>
    <xf numFmtId="0" fontId="2" fillId="0" borderId="0" xfId="2" applyAlignment="1">
      <alignment wrapText="1"/>
    </xf>
    <xf numFmtId="0" fontId="3" fillId="0" borderId="0" xfId="0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3">
    <cellStyle name="Hyperkobling" xfId="1" builtinId="8"/>
    <cellStyle name="Hyperlink" xfId="2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rn.nb.no/URN:NBN:no-nb_digibok_2016040729002" TargetMode="External"/><Relationship Id="rId13" Type="http://schemas.openxmlformats.org/officeDocument/2006/relationships/hyperlink" Target="https://urn.nb.no/URN:NBN:no-nb_digibok_2012033008102" TargetMode="External"/><Relationship Id="rId18" Type="http://schemas.openxmlformats.org/officeDocument/2006/relationships/hyperlink" Target="https://urn.nb.no/URN:NBN:no-nb_digibok_2018020748002" TargetMode="External"/><Relationship Id="rId3" Type="http://schemas.openxmlformats.org/officeDocument/2006/relationships/hyperlink" Target="https://urn.nb.no/URN:NBN:no-nb_digibok_2022012528002" TargetMode="External"/><Relationship Id="rId7" Type="http://schemas.openxmlformats.org/officeDocument/2006/relationships/hyperlink" Target="https://urn.nb.no/URN:NBN:no-nb_digibok_2016040729001" TargetMode="External"/><Relationship Id="rId12" Type="http://schemas.openxmlformats.org/officeDocument/2006/relationships/hyperlink" Target="https://urn.nb.no/URN:NBN:no-nb_digibok_2008040104074" TargetMode="External"/><Relationship Id="rId17" Type="http://schemas.openxmlformats.org/officeDocument/2006/relationships/hyperlink" Target="https://urn.nb.no/URN:NBN:no-nb_digibok_2011053008068" TargetMode="External"/><Relationship Id="rId2" Type="http://schemas.openxmlformats.org/officeDocument/2006/relationships/hyperlink" Target="https://urn.nb.no/URN:NBN:no-nb_digibok_2022011028001" TargetMode="External"/><Relationship Id="rId16" Type="http://schemas.openxmlformats.org/officeDocument/2006/relationships/hyperlink" Target="https://urn.nb.no/URN:NBN:no-nb_digibok_2013061206082" TargetMode="External"/><Relationship Id="rId1" Type="http://schemas.openxmlformats.org/officeDocument/2006/relationships/hyperlink" Target="https://urn.nb.no/URN:NBN:no-nb_digibok_2019061928001" TargetMode="External"/><Relationship Id="rId6" Type="http://schemas.openxmlformats.org/officeDocument/2006/relationships/hyperlink" Target="https://urn.nb.no/URN:NBN:no-nb_digibok_2022011928001" TargetMode="External"/><Relationship Id="rId11" Type="http://schemas.openxmlformats.org/officeDocument/2006/relationships/hyperlink" Target="https://urn.nb.no/URN:NBN:no-nb_digibok_2017051148061" TargetMode="External"/><Relationship Id="rId5" Type="http://schemas.openxmlformats.org/officeDocument/2006/relationships/hyperlink" Target="https://urn.nb.no/URN:NBN:no-nb_digibok_2016031029001" TargetMode="External"/><Relationship Id="rId15" Type="http://schemas.openxmlformats.org/officeDocument/2006/relationships/hyperlink" Target="https://urn.nb.no/URN:NBN:no-nb_digibok_2013061206082" TargetMode="External"/><Relationship Id="rId10" Type="http://schemas.openxmlformats.org/officeDocument/2006/relationships/hyperlink" Target="https://urn.nb.no/URN:NBN:no-nb_digibok_2021041548624" TargetMode="External"/><Relationship Id="rId19" Type="http://schemas.openxmlformats.org/officeDocument/2006/relationships/hyperlink" Target="https://urn.nb.no/URN:NBN:no-nb_digibok_2018020748002" TargetMode="External"/><Relationship Id="rId4" Type="http://schemas.openxmlformats.org/officeDocument/2006/relationships/hyperlink" Target="https://urn.nb.no/URN:NBN:no-nb_digibok_2016040729001" TargetMode="External"/><Relationship Id="rId9" Type="http://schemas.openxmlformats.org/officeDocument/2006/relationships/hyperlink" Target="https://urn.nb.no/URN:NBN:no-nb_digibok_2021012648506" TargetMode="External"/><Relationship Id="rId14" Type="http://schemas.openxmlformats.org/officeDocument/2006/relationships/hyperlink" Target="https://urn.nb.no/URN:NBN:no-nb_digibok_2016061748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C524-F32E-4F4A-A102-05FB7AE0D604}">
  <dimension ref="A1:V66"/>
  <sheetViews>
    <sheetView tabSelected="1" topLeftCell="B1" zoomScale="180" zoomScaleNormal="180" workbookViewId="0">
      <selection activeCell="G2" sqref="G2"/>
    </sheetView>
  </sheetViews>
  <sheetFormatPr baseColWidth="10" defaultColWidth="11.5" defaultRowHeight="15" x14ac:dyDescent="0.2"/>
  <cols>
    <col min="1" max="1" width="38" customWidth="1"/>
    <col min="2" max="2" width="33.1640625" customWidth="1"/>
    <col min="3" max="3" width="51.83203125" customWidth="1"/>
    <col min="4" max="4" width="69.6640625" customWidth="1"/>
    <col min="5" max="5" width="48.33203125" customWidth="1"/>
    <col min="6" max="6" width="11.5" style="7"/>
  </cols>
  <sheetData>
    <row r="1" spans="1:22" x14ac:dyDescent="0.2">
      <c r="A1" t="s">
        <v>0</v>
      </c>
      <c r="B1" s="1" t="s">
        <v>0</v>
      </c>
      <c r="C1" s="1" t="s">
        <v>111</v>
      </c>
      <c r="D1" s="1" t="s">
        <v>1</v>
      </c>
      <c r="E1" s="1" t="s">
        <v>2</v>
      </c>
      <c r="F1" s="6" t="s">
        <v>6</v>
      </c>
      <c r="G1" s="1" t="s">
        <v>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">
      <c r="A2" t="e">
        <f>MID(C2, FIND("URN", C2), LEN(C2) - FIND("URN", C2) + 1)</f>
        <v>#VALUE!</v>
      </c>
      <c r="C2" t="s">
        <v>18</v>
      </c>
      <c r="D2" t="s">
        <v>19</v>
      </c>
      <c r="F2" s="7" t="str">
        <f>RIGHT(D2, 4)</f>
        <v>1524</v>
      </c>
      <c r="G2" s="7">
        <f>F2+"0101"</f>
        <v>1625</v>
      </c>
    </row>
    <row r="3" spans="1:22" x14ac:dyDescent="0.2">
      <c r="A3" t="str">
        <f t="shared" ref="A3:A42" si="0">MID(C3, FIND("URN", C3), LEN(C3) - FIND("URN", C3) + 1)</f>
        <v>URN:NBN:no-nb_digibok_2019061928001</v>
      </c>
      <c r="C3" s="2" t="s">
        <v>20</v>
      </c>
      <c r="D3" t="s">
        <v>21</v>
      </c>
      <c r="F3" s="7" t="str">
        <f t="shared" ref="F3:G56" si="1">RIGHT(D3, 4)</f>
        <v>1550</v>
      </c>
      <c r="G3" s="7" t="str">
        <f>RIGHT(F2, 4)</f>
        <v>1524</v>
      </c>
    </row>
    <row r="4" spans="1:22" x14ac:dyDescent="0.2">
      <c r="A4" t="str">
        <f t="shared" si="0"/>
        <v>URN:NBN:no-nb_digibok_2022011028001</v>
      </c>
      <c r="C4" s="2" t="s">
        <v>22</v>
      </c>
      <c r="D4" t="s">
        <v>23</v>
      </c>
      <c r="F4" s="7" t="str">
        <f t="shared" si="1"/>
        <v>1589</v>
      </c>
      <c r="G4" s="7" t="str">
        <f t="shared" si="1"/>
        <v/>
      </c>
    </row>
    <row r="5" spans="1:22" x14ac:dyDescent="0.2">
      <c r="A5" t="str">
        <f t="shared" si="0"/>
        <v>URN:NBN:no-nb_digibok_2022012528002</v>
      </c>
      <c r="C5" s="2" t="s">
        <v>24</v>
      </c>
      <c r="D5" t="s">
        <v>25</v>
      </c>
      <c r="F5" s="7" t="str">
        <f t="shared" si="1"/>
        <v>1607</v>
      </c>
      <c r="G5" s="7" t="str">
        <f t="shared" si="1"/>
        <v/>
      </c>
    </row>
    <row r="6" spans="1:22" x14ac:dyDescent="0.2">
      <c r="A6" t="str">
        <f t="shared" si="0"/>
        <v>URN:NBN:no-nb_digibok_2022011928001</v>
      </c>
      <c r="C6" s="2" t="s">
        <v>26</v>
      </c>
      <c r="D6" t="s">
        <v>27</v>
      </c>
      <c r="F6" s="7">
        <v>1633</v>
      </c>
      <c r="G6" s="7">
        <v>1633</v>
      </c>
    </row>
    <row r="7" spans="1:22" x14ac:dyDescent="0.2">
      <c r="A7" t="str">
        <f t="shared" si="0"/>
        <v>URN:NBN:no-nb_digibok_2016040729001</v>
      </c>
      <c r="C7" s="2" t="s">
        <v>28</v>
      </c>
      <c r="D7" t="s">
        <v>29</v>
      </c>
      <c r="F7" s="7">
        <v>1647</v>
      </c>
      <c r="G7" s="7">
        <v>1647</v>
      </c>
    </row>
    <row r="8" spans="1:22" x14ac:dyDescent="0.2">
      <c r="A8" t="str">
        <f t="shared" si="0"/>
        <v>URN:NBN:no-nb_digibok_2016040729002</v>
      </c>
      <c r="C8" s="2" t="s">
        <v>30</v>
      </c>
      <c r="D8" t="s">
        <v>31</v>
      </c>
      <c r="F8" s="7">
        <v>1647</v>
      </c>
      <c r="G8" s="7">
        <v>1647</v>
      </c>
    </row>
    <row r="9" spans="1:22" x14ac:dyDescent="0.2">
      <c r="A9" t="str">
        <f t="shared" si="0"/>
        <v>URN:NBN:no-nb_digibok_2016031029001</v>
      </c>
      <c r="C9" s="2" t="s">
        <v>32</v>
      </c>
      <c r="D9" t="s">
        <v>33</v>
      </c>
      <c r="F9" s="7">
        <v>1647</v>
      </c>
      <c r="G9" s="7">
        <v>1647</v>
      </c>
    </row>
    <row r="10" spans="1:22" x14ac:dyDescent="0.2">
      <c r="A10" t="e">
        <f t="shared" si="0"/>
        <v>#VALUE!</v>
      </c>
      <c r="C10" t="s">
        <v>18</v>
      </c>
      <c r="D10" t="s">
        <v>34</v>
      </c>
      <c r="G10" s="7"/>
    </row>
    <row r="11" spans="1:22" x14ac:dyDescent="0.2">
      <c r="A11" t="str">
        <f t="shared" si="0"/>
        <v>URN:NBN:no-nb_digibok_2016040729001</v>
      </c>
      <c r="C11" s="2" t="s">
        <v>28</v>
      </c>
      <c r="D11" t="s">
        <v>35</v>
      </c>
      <c r="F11" s="7">
        <v>1647</v>
      </c>
      <c r="G11" s="7">
        <v>1647</v>
      </c>
    </row>
    <row r="12" spans="1:22" x14ac:dyDescent="0.2">
      <c r="A12" t="e">
        <f t="shared" si="0"/>
        <v>#VALUE!</v>
      </c>
      <c r="C12" t="s">
        <v>18</v>
      </c>
      <c r="D12" t="s">
        <v>36</v>
      </c>
      <c r="F12" s="7">
        <v>1670</v>
      </c>
      <c r="G12" s="7">
        <v>1670</v>
      </c>
    </row>
    <row r="13" spans="1:22" x14ac:dyDescent="0.2">
      <c r="A13" t="e">
        <f t="shared" si="0"/>
        <v>#VALUE!</v>
      </c>
      <c r="C13" t="s">
        <v>18</v>
      </c>
      <c r="D13" t="s">
        <v>37</v>
      </c>
      <c r="F13" s="7">
        <v>1740</v>
      </c>
      <c r="G13" s="7">
        <v>1740</v>
      </c>
    </row>
    <row r="14" spans="1:22" x14ac:dyDescent="0.2">
      <c r="A14" t="e">
        <f t="shared" si="0"/>
        <v>#VALUE!</v>
      </c>
      <c r="C14" t="s">
        <v>18</v>
      </c>
      <c r="D14" t="s">
        <v>38</v>
      </c>
      <c r="G14" s="7"/>
    </row>
    <row r="15" spans="1:22" x14ac:dyDescent="0.2">
      <c r="A15" t="e">
        <f t="shared" si="0"/>
        <v>#VALUE!</v>
      </c>
      <c r="C15" t="s">
        <v>18</v>
      </c>
      <c r="D15" t="s">
        <v>39</v>
      </c>
      <c r="F15" s="7">
        <v>1891</v>
      </c>
      <c r="G15" s="7">
        <v>1891</v>
      </c>
    </row>
    <row r="16" spans="1:22" x14ac:dyDescent="0.2">
      <c r="A16" t="str">
        <f t="shared" si="0"/>
        <v>URN:NBN:no-nb_digibok_2017051148061</v>
      </c>
      <c r="C16" s="2" t="s">
        <v>40</v>
      </c>
      <c r="D16" t="s">
        <v>41</v>
      </c>
      <c r="F16" s="7">
        <v>1914</v>
      </c>
      <c r="G16" s="7">
        <v>1914</v>
      </c>
    </row>
    <row r="17" spans="1:7" x14ac:dyDescent="0.2">
      <c r="A17" t="str">
        <f t="shared" si="0"/>
        <v>URN:NBN:no-nb_digibok_2021012648506</v>
      </c>
      <c r="C17" s="2" t="s">
        <v>42</v>
      </c>
      <c r="D17" t="s">
        <v>43</v>
      </c>
      <c r="F17" s="7">
        <v>1914</v>
      </c>
      <c r="G17" s="7">
        <v>1914</v>
      </c>
    </row>
    <row r="18" spans="1:7" x14ac:dyDescent="0.2">
      <c r="A18" t="str">
        <f t="shared" si="0"/>
        <v>URN:NBN:no-nb_digibok_2021041548624</v>
      </c>
      <c r="C18" s="2" t="s">
        <v>44</v>
      </c>
      <c r="D18" t="s">
        <v>45</v>
      </c>
      <c r="F18" s="7">
        <v>1908</v>
      </c>
      <c r="G18" s="7">
        <v>1908</v>
      </c>
    </row>
    <row r="19" spans="1:7" x14ac:dyDescent="0.2">
      <c r="A19" t="str">
        <f t="shared" si="0"/>
        <v>URN:NBN:no-nb_digibok_2008040104074</v>
      </c>
      <c r="C19" s="2" t="s">
        <v>46</v>
      </c>
      <c r="D19" t="s">
        <v>47</v>
      </c>
      <c r="F19" s="7">
        <v>1904</v>
      </c>
      <c r="G19" s="7">
        <v>1904</v>
      </c>
    </row>
    <row r="20" spans="1:7" x14ac:dyDescent="0.2">
      <c r="A20" t="e">
        <f t="shared" si="0"/>
        <v>#VALUE!</v>
      </c>
      <c r="D20" t="s">
        <v>48</v>
      </c>
      <c r="G20" s="7"/>
    </row>
    <row r="21" spans="1:7" x14ac:dyDescent="0.2">
      <c r="A21" t="str">
        <f t="shared" si="0"/>
        <v>URN:NBN:no-nb_digibok_2010110206027</v>
      </c>
      <c r="C21" t="s">
        <v>49</v>
      </c>
      <c r="D21" t="s">
        <v>50</v>
      </c>
      <c r="F21" s="7" t="str">
        <f t="shared" si="1"/>
        <v>1915</v>
      </c>
      <c r="G21" s="7" t="str">
        <f t="shared" si="1"/>
        <v/>
      </c>
    </row>
    <row r="22" spans="1:7" x14ac:dyDescent="0.2">
      <c r="A22" t="e">
        <f t="shared" si="0"/>
        <v>#VALUE!</v>
      </c>
      <c r="D22" t="s">
        <v>51</v>
      </c>
      <c r="F22" s="7">
        <v>1938</v>
      </c>
      <c r="G22" s="7">
        <v>1938</v>
      </c>
    </row>
    <row r="23" spans="1:7" x14ac:dyDescent="0.2">
      <c r="A23" t="str">
        <f t="shared" si="0"/>
        <v>URN:NBN:no-nb_digibok_2017091807031</v>
      </c>
      <c r="C23" t="s">
        <v>52</v>
      </c>
      <c r="D23" t="s">
        <v>53</v>
      </c>
      <c r="F23" s="7">
        <v>1930</v>
      </c>
      <c r="G23" s="7">
        <v>1930</v>
      </c>
    </row>
    <row r="24" spans="1:7" x14ac:dyDescent="0.2">
      <c r="A24" t="str">
        <f t="shared" si="0"/>
        <v>URN:NBN:no-nb_digibok_2018020748002</v>
      </c>
      <c r="C24" t="s">
        <v>72</v>
      </c>
      <c r="D24" t="s">
        <v>93</v>
      </c>
      <c r="F24" s="7" t="str">
        <f t="shared" si="1"/>
        <v>1945</v>
      </c>
      <c r="G24" s="7" t="str">
        <f t="shared" si="1"/>
        <v/>
      </c>
    </row>
    <row r="25" spans="1:7" x14ac:dyDescent="0.2">
      <c r="A25" t="str">
        <f t="shared" si="0"/>
        <v>URN:NBN:no-nb_digibok_2012081508153</v>
      </c>
      <c r="C25" t="s">
        <v>54</v>
      </c>
      <c r="D25" t="s">
        <v>55</v>
      </c>
      <c r="F25" s="7">
        <v>1951</v>
      </c>
      <c r="G25" s="7">
        <v>1951</v>
      </c>
    </row>
    <row r="26" spans="1:7" x14ac:dyDescent="0.2">
      <c r="A26" t="str">
        <f t="shared" si="0"/>
        <v>URN:NBN:no-nb_digibok_2008052304066</v>
      </c>
      <c r="C26" t="s">
        <v>56</v>
      </c>
      <c r="D26" t="s">
        <v>57</v>
      </c>
      <c r="F26" s="7">
        <v>1959</v>
      </c>
      <c r="G26" s="7">
        <v>1959</v>
      </c>
    </row>
    <row r="27" spans="1:7" x14ac:dyDescent="0.2">
      <c r="A27" t="str">
        <f t="shared" si="0"/>
        <v>URN:NBN:no-nb_digibok_2012033008102</v>
      </c>
      <c r="C27" s="2" t="s">
        <v>58</v>
      </c>
      <c r="D27" t="s">
        <v>59</v>
      </c>
      <c r="F27" s="7">
        <v>1973</v>
      </c>
      <c r="G27" s="7">
        <v>1973</v>
      </c>
    </row>
    <row r="28" spans="1:7" x14ac:dyDescent="0.2">
      <c r="A28" t="str">
        <f t="shared" si="0"/>
        <v>URN:NBN:no-nb_digibok_2018020748002</v>
      </c>
      <c r="C28" t="s">
        <v>72</v>
      </c>
      <c r="D28" t="s">
        <v>94</v>
      </c>
      <c r="F28" s="7" t="str">
        <f>RIGHT(D28, 4)</f>
        <v>1960</v>
      </c>
      <c r="G28" s="7" t="str">
        <f>RIGHT(E28, 4)</f>
        <v/>
      </c>
    </row>
    <row r="29" spans="1:7" x14ac:dyDescent="0.2">
      <c r="A29" t="str">
        <f t="shared" si="0"/>
        <v>URN:NBN:no-nb_digibok_2018020748002</v>
      </c>
      <c r="C29" s="2" t="s">
        <v>72</v>
      </c>
      <c r="D29" t="s">
        <v>95</v>
      </c>
      <c r="F29" s="7" t="str">
        <f t="shared" si="1"/>
        <v>1963</v>
      </c>
      <c r="G29" s="7" t="str">
        <f t="shared" si="1"/>
        <v/>
      </c>
    </row>
    <row r="30" spans="1:7" x14ac:dyDescent="0.2">
      <c r="A30" t="str">
        <f t="shared" si="0"/>
        <v>URN:NBN:no-nb_digibok_2018030805008</v>
      </c>
      <c r="C30" t="s">
        <v>60</v>
      </c>
      <c r="D30" t="s">
        <v>61</v>
      </c>
      <c r="F30" s="7">
        <v>1966</v>
      </c>
      <c r="G30" s="7">
        <v>1966</v>
      </c>
    </row>
    <row r="31" spans="1:7" x14ac:dyDescent="0.2">
      <c r="A31" t="str">
        <f t="shared" si="0"/>
        <v>URN:NBN:no-nb_digibok_2018020748002</v>
      </c>
      <c r="C31" t="s">
        <v>72</v>
      </c>
      <c r="D31" t="s">
        <v>96</v>
      </c>
      <c r="F31" s="7" t="str">
        <f t="shared" si="1"/>
        <v>1968</v>
      </c>
      <c r="G31" s="7" t="str">
        <f t="shared" si="1"/>
        <v/>
      </c>
    </row>
    <row r="32" spans="1:7" x14ac:dyDescent="0.2">
      <c r="A32" t="e">
        <f t="shared" si="0"/>
        <v>#VALUE!</v>
      </c>
      <c r="D32" t="s">
        <v>97</v>
      </c>
      <c r="F32" s="7" t="str">
        <f t="shared" si="1"/>
        <v>1973</v>
      </c>
      <c r="G32" s="7" t="str">
        <f t="shared" si="1"/>
        <v/>
      </c>
    </row>
    <row r="33" spans="1:7" x14ac:dyDescent="0.2">
      <c r="A33" t="str">
        <f t="shared" si="0"/>
        <v>URN:NBN:no-nb_digibok_2016061748023</v>
      </c>
      <c r="C33" s="2" t="s">
        <v>62</v>
      </c>
      <c r="D33" t="s">
        <v>63</v>
      </c>
      <c r="F33" s="7">
        <v>1975</v>
      </c>
      <c r="G33" s="7">
        <v>1975</v>
      </c>
    </row>
    <row r="34" spans="1:7" x14ac:dyDescent="0.2">
      <c r="A34" t="str">
        <f t="shared" si="0"/>
        <v>URN:NBN:no-nb_digibok_2015110407068</v>
      </c>
      <c r="C34" t="s">
        <v>64</v>
      </c>
      <c r="D34" t="s">
        <v>65</v>
      </c>
      <c r="F34" s="7">
        <v>1976</v>
      </c>
      <c r="G34" s="7">
        <v>1976</v>
      </c>
    </row>
    <row r="35" spans="1:7" x14ac:dyDescent="0.2">
      <c r="A35" t="str">
        <f t="shared" si="0"/>
        <v>URN:NBN:no-nb_digibok_2022030107535</v>
      </c>
      <c r="C35" t="s">
        <v>66</v>
      </c>
      <c r="D35" t="s">
        <v>67</v>
      </c>
      <c r="F35" s="7">
        <v>1978</v>
      </c>
      <c r="G35" s="7">
        <v>1978</v>
      </c>
    </row>
    <row r="36" spans="1:7" x14ac:dyDescent="0.2">
      <c r="A36" t="str">
        <f t="shared" si="0"/>
        <v>URN:NBN:no-nb_digibok_2013030506026</v>
      </c>
      <c r="C36" t="s">
        <v>68</v>
      </c>
      <c r="D36" t="s">
        <v>69</v>
      </c>
      <c r="F36" s="7">
        <v>1978</v>
      </c>
      <c r="G36" s="7">
        <v>1978</v>
      </c>
    </row>
    <row r="37" spans="1:7" x14ac:dyDescent="0.2">
      <c r="A37" t="str">
        <f t="shared" si="0"/>
        <v>URN:NBN:no-nb_digibok_2022030107531</v>
      </c>
      <c r="C37" t="s">
        <v>70</v>
      </c>
      <c r="D37" t="s">
        <v>71</v>
      </c>
      <c r="F37" s="7">
        <v>1996</v>
      </c>
      <c r="G37" s="7">
        <v>1996</v>
      </c>
    </row>
    <row r="38" spans="1:7" x14ac:dyDescent="0.2">
      <c r="A38" t="str">
        <f t="shared" si="0"/>
        <v>URN:NBN:no-nb_digibok_2018020748002</v>
      </c>
      <c r="C38" s="3" t="s">
        <v>72</v>
      </c>
      <c r="D38" t="s">
        <v>98</v>
      </c>
      <c r="F38" s="7">
        <v>1988</v>
      </c>
      <c r="G38" s="7">
        <v>1988</v>
      </c>
    </row>
    <row r="39" spans="1:7" x14ac:dyDescent="0.2">
      <c r="A39" t="str">
        <f t="shared" si="0"/>
        <v>URN:NBN:no-nb_digibok_2018020748002</v>
      </c>
      <c r="C39" t="s">
        <v>72</v>
      </c>
      <c r="D39" t="s">
        <v>99</v>
      </c>
      <c r="F39" s="7" t="str">
        <f t="shared" si="1"/>
        <v>1986</v>
      </c>
      <c r="G39" s="7" t="str">
        <f t="shared" si="1"/>
        <v/>
      </c>
    </row>
    <row r="40" spans="1:7" x14ac:dyDescent="0.2">
      <c r="A40" t="str">
        <f t="shared" si="0"/>
        <v>URN:NBN:no-nb_digibok_2018020748002</v>
      </c>
      <c r="C40" t="s">
        <v>72</v>
      </c>
      <c r="D40" t="s">
        <v>100</v>
      </c>
      <c r="F40" s="7" t="str">
        <f t="shared" si="1"/>
        <v>2007</v>
      </c>
      <c r="G40" s="7" t="str">
        <f t="shared" si="1"/>
        <v/>
      </c>
    </row>
    <row r="41" spans="1:7" x14ac:dyDescent="0.2">
      <c r="A41" t="str">
        <f t="shared" si="0"/>
        <v>URN:NBN:no-nb_digibok_2018020748002</v>
      </c>
      <c r="C41" t="s">
        <v>72</v>
      </c>
      <c r="D41" t="s">
        <v>101</v>
      </c>
      <c r="F41" s="7" t="str">
        <f t="shared" si="1"/>
        <v>1996</v>
      </c>
      <c r="G41" s="7" t="str">
        <f t="shared" si="1"/>
        <v/>
      </c>
    </row>
    <row r="42" spans="1:7" x14ac:dyDescent="0.2">
      <c r="A42" t="str">
        <f t="shared" si="0"/>
        <v>URN:NBN:no-nb_digibok_2018020748002</v>
      </c>
      <c r="C42" t="s">
        <v>72</v>
      </c>
      <c r="D42" t="s">
        <v>104</v>
      </c>
      <c r="F42" s="7" t="str">
        <f t="shared" si="1"/>
        <v>1996</v>
      </c>
      <c r="G42" s="7" t="str">
        <f t="shared" si="1"/>
        <v/>
      </c>
    </row>
    <row r="43" spans="1:7" x14ac:dyDescent="0.2">
      <c r="A43" t="str">
        <f>MID(C43, FIND("URN", C43), LEN(C43) - FIND("URN", C43) + 1)</f>
        <v>URN:NBN:no-nb_digibok_2018020748002</v>
      </c>
      <c r="C43" s="5" t="s">
        <v>72</v>
      </c>
      <c r="D43" t="s">
        <v>105</v>
      </c>
      <c r="F43" s="7" t="str">
        <f>RIGHT(D43, 4)</f>
        <v>1997</v>
      </c>
      <c r="G43" s="7" t="str">
        <f>RIGHT(E43, 4)</f>
        <v/>
      </c>
    </row>
    <row r="44" spans="1:7" x14ac:dyDescent="0.2">
      <c r="A44" t="str">
        <f>MID(C44, FIND("URN", C44), LEN(C44) - FIND("URN", C44) + 1)</f>
        <v>URN:NBN:no-nb_digibok_2018020748002</v>
      </c>
      <c r="C44" s="5" t="s">
        <v>72</v>
      </c>
      <c r="D44" t="s">
        <v>102</v>
      </c>
      <c r="F44" s="7" t="str">
        <f t="shared" si="1"/>
        <v>2007</v>
      </c>
      <c r="G44" s="7" t="str">
        <f t="shared" si="1"/>
        <v/>
      </c>
    </row>
    <row r="45" spans="1:7" x14ac:dyDescent="0.2">
      <c r="A45" t="str">
        <f t="shared" ref="A45:A57" si="2">MID(C45, FIND("URN", C45), LEN(C45) - FIND("URN", C45) + 1)</f>
        <v>URN:NBN:no-nb_digibok_2018020748002</v>
      </c>
      <c r="C45" s="5" t="s">
        <v>72</v>
      </c>
      <c r="D45" t="s">
        <v>103</v>
      </c>
      <c r="F45" s="7">
        <v>2002</v>
      </c>
      <c r="G45" s="7">
        <v>2002</v>
      </c>
    </row>
    <row r="46" spans="1:7" x14ac:dyDescent="0.2">
      <c r="A46" t="str">
        <f t="shared" si="2"/>
        <v>URN:NBN:no-nb_digibok_2018020748002</v>
      </c>
      <c r="C46" s="5" t="s">
        <v>72</v>
      </c>
      <c r="D46" t="s">
        <v>106</v>
      </c>
      <c r="F46" s="7">
        <v>2002</v>
      </c>
      <c r="G46" s="7">
        <v>2002</v>
      </c>
    </row>
    <row r="47" spans="1:7" x14ac:dyDescent="0.2">
      <c r="A47" t="str">
        <f t="shared" si="2"/>
        <v>URN:NBN:no-nb_digibok_2018020748002</v>
      </c>
      <c r="C47" s="5" t="s">
        <v>72</v>
      </c>
      <c r="D47" t="s">
        <v>107</v>
      </c>
      <c r="F47" s="7" t="str">
        <f t="shared" si="1"/>
        <v>2005</v>
      </c>
      <c r="G47" s="7" t="str">
        <f t="shared" si="1"/>
        <v/>
      </c>
    </row>
    <row r="48" spans="1:7" x14ac:dyDescent="0.2">
      <c r="A48" t="str">
        <f t="shared" si="2"/>
        <v>URN:NBN:no-nb_digibok_2018020748002</v>
      </c>
      <c r="C48" s="5" t="s">
        <v>72</v>
      </c>
      <c r="D48" t="s">
        <v>108</v>
      </c>
      <c r="F48" s="7" t="str">
        <f t="shared" si="1"/>
        <v>2005</v>
      </c>
      <c r="G48" s="7" t="str">
        <f t="shared" si="1"/>
        <v/>
      </c>
    </row>
    <row r="49" spans="1:7" x14ac:dyDescent="0.2">
      <c r="A49" t="str">
        <f t="shared" si="2"/>
        <v>URN:NBN:no-nb_digibok_2018020748002</v>
      </c>
      <c r="C49" s="5" t="s">
        <v>72</v>
      </c>
      <c r="D49" t="s">
        <v>109</v>
      </c>
      <c r="F49" s="7" t="str">
        <f t="shared" si="1"/>
        <v>2007</v>
      </c>
      <c r="G49" s="7" t="str">
        <f t="shared" si="1"/>
        <v/>
      </c>
    </row>
    <row r="50" spans="1:7" x14ac:dyDescent="0.2">
      <c r="A50" t="str">
        <f t="shared" si="2"/>
        <v>URN:NBN:no-nb_digibok_2018020748002</v>
      </c>
      <c r="C50" s="5" t="s">
        <v>72</v>
      </c>
      <c r="D50" t="s">
        <v>110</v>
      </c>
      <c r="F50" s="7" t="str">
        <f t="shared" si="1"/>
        <v>2011</v>
      </c>
      <c r="G50" s="7" t="str">
        <f t="shared" si="1"/>
        <v/>
      </c>
    </row>
    <row r="51" spans="1:7" x14ac:dyDescent="0.2">
      <c r="A51" t="str">
        <f t="shared" si="2"/>
        <v>URN:NBN:no-nb_digibok_2009021704085</v>
      </c>
      <c r="C51" t="s">
        <v>73</v>
      </c>
      <c r="D51" t="s">
        <v>74</v>
      </c>
      <c r="G51" s="7"/>
    </row>
    <row r="52" spans="1:7" x14ac:dyDescent="0.2">
      <c r="A52" t="str">
        <f t="shared" si="2"/>
        <v>URN:NBN:no-nb_digibok_2013020808015</v>
      </c>
      <c r="C52" t="s">
        <v>75</v>
      </c>
      <c r="D52" t="s">
        <v>76</v>
      </c>
      <c r="G52" s="7"/>
    </row>
    <row r="53" spans="1:7" ht="16" x14ac:dyDescent="0.2">
      <c r="A53" t="str">
        <f t="shared" si="2"/>
        <v>URN:NBN:no-nb_digibok_2013061206082</v>
      </c>
      <c r="C53" s="4" t="s">
        <v>77</v>
      </c>
      <c r="D53" t="s">
        <v>78</v>
      </c>
      <c r="G53" s="7"/>
    </row>
    <row r="54" spans="1:7" ht="16" x14ac:dyDescent="0.2">
      <c r="A54" t="str">
        <f t="shared" si="2"/>
        <v>URN:NBN:no-nb_digibok_2013061206082</v>
      </c>
      <c r="C54" s="4" t="s">
        <v>77</v>
      </c>
      <c r="D54" t="s">
        <v>79</v>
      </c>
      <c r="G54" s="7"/>
    </row>
    <row r="55" spans="1:7" ht="16" x14ac:dyDescent="0.2">
      <c r="A55" t="str">
        <f t="shared" si="2"/>
        <v>URN:NBN:no-nb_digibok_2011053008068</v>
      </c>
      <c r="C55" s="4" t="s">
        <v>80</v>
      </c>
      <c r="D55" t="s">
        <v>81</v>
      </c>
      <c r="G55" s="7"/>
    </row>
    <row r="56" spans="1:7" x14ac:dyDescent="0.2">
      <c r="A56" t="str">
        <f t="shared" si="2"/>
        <v>URN:NBN:no-nb_digibok_2011060308011</v>
      </c>
      <c r="C56" t="s">
        <v>82</v>
      </c>
      <c r="D56" t="s">
        <v>83</v>
      </c>
      <c r="F56" s="7">
        <v>2005</v>
      </c>
      <c r="G56" s="7">
        <v>2005</v>
      </c>
    </row>
    <row r="57" spans="1:7" x14ac:dyDescent="0.2">
      <c r="A57" t="str">
        <f t="shared" si="2"/>
        <v>URN:NBN:no-nb_digibok_2011052608017</v>
      </c>
      <c r="C57" t="s">
        <v>84</v>
      </c>
      <c r="D57" t="s">
        <v>85</v>
      </c>
      <c r="F57" s="7">
        <v>2005</v>
      </c>
      <c r="G57" s="7">
        <v>2005</v>
      </c>
    </row>
    <row r="60" spans="1:7" x14ac:dyDescent="0.2">
      <c r="D60" t="s">
        <v>86</v>
      </c>
    </row>
    <row r="61" spans="1:7" x14ac:dyDescent="0.2">
      <c r="D61" t="s">
        <v>87</v>
      </c>
    </row>
    <row r="62" spans="1:7" x14ac:dyDescent="0.2">
      <c r="D62" t="s">
        <v>88</v>
      </c>
    </row>
    <row r="63" spans="1:7" x14ac:dyDescent="0.2">
      <c r="D63" t="s">
        <v>89</v>
      </c>
    </row>
    <row r="64" spans="1:7" x14ac:dyDescent="0.2">
      <c r="D64" t="s">
        <v>90</v>
      </c>
    </row>
    <row r="65" spans="4:4" x14ac:dyDescent="0.2">
      <c r="D65" t="s">
        <v>91</v>
      </c>
    </row>
    <row r="66" spans="4:4" x14ac:dyDescent="0.2">
      <c r="D66" t="s">
        <v>92</v>
      </c>
    </row>
  </sheetData>
  <hyperlinks>
    <hyperlink ref="C3" r:id="rId1" xr:uid="{59375F48-CA57-0549-AAC2-06B0341B67FE}"/>
    <hyperlink ref="C4" r:id="rId2" xr:uid="{485AAA82-9EF6-0144-8215-BAE1785E90B0}"/>
    <hyperlink ref="C5" r:id="rId3" xr:uid="{F3766179-6FA2-3B41-AA73-0354B4F27E85}"/>
    <hyperlink ref="C11" r:id="rId4" xr:uid="{B123672A-E80E-6344-BEA6-397AF938C533}"/>
    <hyperlink ref="C9" r:id="rId5" xr:uid="{B33088C0-CD4A-7C4B-A1CB-8B8E7D04B66E}"/>
    <hyperlink ref="C6" r:id="rId6" xr:uid="{DD67D8C0-7C84-DC44-831E-C82AE3252816}"/>
    <hyperlink ref="C7" r:id="rId7" xr:uid="{5C4551F8-FA24-C948-AAF6-6A7DB242686E}"/>
    <hyperlink ref="C8" r:id="rId8" xr:uid="{82EE8099-DA4C-B943-BEC8-FC7C5C09D49A}"/>
    <hyperlink ref="C17" r:id="rId9" xr:uid="{8782C6D3-2B4B-8F44-9398-EB95ABCEEAF5}"/>
    <hyperlink ref="C18" r:id="rId10" xr:uid="{85A5720B-CA85-3D40-923D-38C0C4C5F007}"/>
    <hyperlink ref="C16" r:id="rId11" xr:uid="{31EDEB79-E789-584A-B969-5720BC172D4B}"/>
    <hyperlink ref="C19" r:id="rId12" xr:uid="{C413B5BF-454A-FD47-B831-46F1FDB6CDAE}"/>
    <hyperlink ref="C27" r:id="rId13" xr:uid="{9C135A6B-2DEF-5F49-8F0F-49F6FED21ADB}"/>
    <hyperlink ref="C33" r:id="rId14" xr:uid="{DDC9E565-8432-0F45-B170-C36341AF2174}"/>
    <hyperlink ref="C53" r:id="rId15" xr:uid="{C6E16B1E-4C65-4119-A193-51054974A16A}"/>
    <hyperlink ref="C54" r:id="rId16" xr:uid="{CD4AD40F-CFCD-4A20-A57A-69674C4B6C15}"/>
    <hyperlink ref="C55" r:id="rId17" xr:uid="{19643386-C1EE-4ABB-9B07-CDF90AA156D0}"/>
    <hyperlink ref="C38" r:id="rId18" xr:uid="{9C6F9F3B-1463-45B8-8CB0-245E26329532}"/>
    <hyperlink ref="C29" r:id="rId19" xr:uid="{949BEE76-34F8-8044-BF58-2A97E7FB2EA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92B67D6B62FB44A62401C7C24BF83D" ma:contentTypeVersion="3" ma:contentTypeDescription="Opprett et nytt dokument." ma:contentTypeScope="" ma:versionID="6bfaa16dc6118ad451c5832d9c582aba">
  <xsd:schema xmlns:xsd="http://www.w3.org/2001/XMLSchema" xmlns:xs="http://www.w3.org/2001/XMLSchema" xmlns:p="http://schemas.microsoft.com/office/2006/metadata/properties" xmlns:ns2="8aa350fe-9594-4e5f-a83f-08d675808fcc" targetNamespace="http://schemas.microsoft.com/office/2006/metadata/properties" ma:root="true" ma:fieldsID="74aed2acc1c9bd330adca3968b797e6a" ns2:_="">
    <xsd:import namespace="8aa350fe-9594-4e5f-a83f-08d675808f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350fe-9594-4e5f-a83f-08d675808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359427-071F-4719-9B0D-844B23DB79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00B76B-C0E8-4D70-A9D4-5718844792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a350fe-9594-4e5f-a83f-08d675808f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385BD0-8843-49CF-8DC8-44ABB1B877D8}">
  <ds:schemaRefs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8aa350fe-9594-4e5f-a83f-08d675808fcc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bibelkorpus-bare bibler 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Morten Beckmann</cp:lastModifiedBy>
  <cp:revision/>
  <dcterms:created xsi:type="dcterms:W3CDTF">2024-12-18T10:34:30Z</dcterms:created>
  <dcterms:modified xsi:type="dcterms:W3CDTF">2025-12-02T09:45:07Z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0x010100F592B67D6B62FB44A62401C7C24BF83D</vt:lpwstr>
  </property>
  <property fmtid="{D5CDD505-2E9C-101B-9397-08002B2CF9AE}" pid="3" name="MSIP_Label_695cf23d-70b0-4a80-9221-1d774ac27fb2_Enabled">
    <vt:lpwstr>true</vt:lpwstr>
  </property>
  <property fmtid="{D5CDD505-2E9C-101B-9397-08002B2CF9AE}" pid="4" name="MSIP_Label_695cf23d-70b0-4a80-9221-1d774ac27fb2_SetDate">
    <vt:lpwstr>2025-03-28T12:44:47Z</vt:lpwstr>
  </property>
  <property fmtid="{D5CDD505-2E9C-101B-9397-08002B2CF9AE}" pid="5" name="MSIP_Label_695cf23d-70b0-4a80-9221-1d774ac27fb2_Method">
    <vt:lpwstr>Standard</vt:lpwstr>
  </property>
  <property fmtid="{D5CDD505-2E9C-101B-9397-08002B2CF9AE}" pid="6" name="MSIP_Label_695cf23d-70b0-4a80-9221-1d774ac27fb2_Name">
    <vt:lpwstr>Document internal</vt:lpwstr>
  </property>
  <property fmtid="{D5CDD505-2E9C-101B-9397-08002B2CF9AE}" pid="7" name="MSIP_Label_695cf23d-70b0-4a80-9221-1d774ac27fb2_SiteId">
    <vt:lpwstr>8482881e-3699-4b3f-b135-cf4800bc1efb</vt:lpwstr>
  </property>
  <property fmtid="{D5CDD505-2E9C-101B-9397-08002B2CF9AE}" pid="8" name="MSIP_Label_695cf23d-70b0-4a80-9221-1d774ac27fb2_ActionId">
    <vt:lpwstr>5d258ace-18ed-475c-a03a-5eab91457176</vt:lpwstr>
  </property>
  <property fmtid="{D5CDD505-2E9C-101B-9397-08002B2CF9AE}" pid="9" name="MSIP_Label_695cf23d-70b0-4a80-9221-1d774ac27fb2_ContentBits">
    <vt:lpwstr>0</vt:lpwstr>
  </property>
  <property fmtid="{D5CDD505-2E9C-101B-9397-08002B2CF9AE}" pid="10" name="MSIP_Label_695cf23d-70b0-4a80-9221-1d774ac27fb2_Tag">
    <vt:lpwstr>10, 3, 0, 2</vt:lpwstr>
  </property>
</Properties>
</file>